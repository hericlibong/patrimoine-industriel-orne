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e8174c27ae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ignes" sheetId="1" r:id="R81e37c2ec5114b5b"/>
    <x:sheet xmlns:r="http://schemas.openxmlformats.org/officeDocument/2006/relationships" name="Sources" sheetId="2" r:id="Rb8a10a8165f54ddb"/>
    <x:sheet xmlns:r="http://schemas.openxmlformats.org/officeDocument/2006/relationships" name="Personne A" sheetId="3" r:id="R3709dc29fdf14961"/>
    <x:sheet xmlns:r="http://schemas.openxmlformats.org/officeDocument/2006/relationships" name="Personne B" sheetId="4" r:id="R1be01d14291c4ccc"/>
    <x:sheet xmlns:r="http://schemas.openxmlformats.org/officeDocument/2006/relationships" name="Vocabulaires" sheetId="5" r:id="Rde033791da36406e"/>
    <x:sheet xmlns:r="http://schemas.openxmlformats.org/officeDocument/2006/relationships" name="Comparaison" sheetId="6" r:id="R9c88d3b032ee41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1D2939"/>
      <x:name val="Aptos"/>
    </x:font>
    <x:font>
      <x:sz val="11"/>
      <x:color rgb="FF1D2939"/>
      <x:name val="Aptos"/>
    </x:font>
    <x:font>
      <x:b/>
      <x:sz val="11"/>
      <x:color rgb="FF1D2939"/>
      <x:name val="Aptos"/>
    </x:font>
    <x:font>
      <x:b/>
      <x:sz val="18"/>
      <x:color rgb="FFFFFFFF"/>
      <x:name val="Aptos Display"/>
    </x:font>
    <x:font>
      <x:b/>
      <x:sz val="10"/>
      <x:color rgb="FF1D2939"/>
      <x:name val="Aptos"/>
    </x:font>
    <x:font>
      <x:sz val="10"/>
      <x:color rgb="FF1D2939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2F6B8A"/>
      </x:patternFill>
    </x:fill>
    <x:fill>
      <x:patternFill patternType="solid">
        <x:fgColor rgb="FFEAF3F7"/>
      </x:patternFill>
    </x:fill>
    <x:fill>
      <x:patternFill patternType="solid">
        <x:fgColor rgb="FFB54708"/>
      </x:patternFill>
    </x:fill>
    <x:fill>
      <x:patternFill patternType="solid">
        <x:fgColor rgb="FFFFF5CC"/>
      </x:patternFill>
    </x:fill>
    <x:fill>
      <x:patternFill patternType="solid">
        <x:fgColor rgb="FFE6F4EA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7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9" fillId="6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10" fillId="2" borderId="0" xfId="0" applyNumberFormat="1" applyFont="1" applyFill="1" applyBorder="1"/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8" fillId="7" borderId="0" xfId="0" applyNumberFormat="1" applyFont="1" applyFill="1" applyBorder="1"/>
    <x:xf numFmtId="201" fontId="8" fillId="7" borderId="0" xfId="0" applyNumberFormat="1" applyFont="1" applyFill="1" applyBorder="1"/>
    <x:xf numFmtId="0" fontId="11" fillId="3" borderId="0" xfId="0" applyNumberFormat="1" applyFont="1" applyFill="1" applyBorder="1"/>
    <x:xf numFmtId="0" fontId="11" fillId="5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8A3B12"/>
      </x:font>
      <x:fill>
        <x:patternFill patternType="solid">
          <x:bgColor rgb="FFFFF5CC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color rgb="FF067647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3cd0bf043c4fab" /><Relationship Type="http://schemas.openxmlformats.org/officeDocument/2006/relationships/theme" Target="/xl/theme/theme1.xml" Id="Rcdefd6fc3f334a9a" /><Relationship Type="http://schemas.openxmlformats.org/officeDocument/2006/relationships/sharedStrings" Target="/xl/sharedStrings.xml" Id="Ra02fb51f2c64445a" /><Relationship Type="http://schemas.openxmlformats.org/officeDocument/2006/relationships/worksheet" Target="/xl/worksheets/sheet1.xml" Id="R81e37c2ec5114b5b" /><Relationship Type="http://schemas.openxmlformats.org/officeDocument/2006/relationships/worksheet" Target="/xl/worksheets/sheet2.xml" Id="Rb8a10a8165f54ddb" /><Relationship Type="http://schemas.openxmlformats.org/officeDocument/2006/relationships/worksheet" Target="/xl/worksheets/sheet3.xml" Id="R3709dc29fdf14961" /><Relationship Type="http://schemas.openxmlformats.org/officeDocument/2006/relationships/worksheet" Target="/xl/worksheets/sheet4.xml" Id="R1be01d14291c4ccc" /><Relationship Type="http://schemas.openxmlformats.org/officeDocument/2006/relationships/worksheet" Target="/xl/worksheets/sheet5.xml" Id="Rde033791da36406e" /><Relationship Type="http://schemas.openxmlformats.org/officeDocument/2006/relationships/worksheet" Target="/xl/worksheets/sheet6.xml" Id="R9c88d3b032ee41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4" t="str">
        <x:v>Double classement indépendant — Phase 5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48" t="str">
        <x:v>Objectif</x:v>
      </x:c>
      <x:c r="B4" s="48"/>
      <x:c r="C4" s="48"/>
      <x:c r="D4" s="48"/>
      <x:c r="E4" s="48"/>
      <x:c r="F4" s="48"/>
      <x:c r="G4" s="48"/>
      <x:c r="H4" s="48"/>
    </x:row>
    <x:row r="5">
      <x:c r="A5" s="19" t="str">
        <x:v>Vérifier que deux personnes appliquent les mêmes règles aux mêmes sources. Chaque personne travaille sans consulter la feuille de l’autre.</x:v>
      </x:c>
      <x:c r="B5" s="19"/>
      <x:c r="C5" s="19"/>
      <x:c r="D5" s="19"/>
      <x:c r="E5" s="19"/>
      <x:c r="F5" s="19"/>
      <x:c r="G5" s="19"/>
      <x:c r="H5" s="19"/>
    </x:row>
    <x:row r="6">
      <x:c r="A6" s="19"/>
      <x:c r="B6" s="19"/>
      <x:c r="C6" s="19"/>
      <x:c r="D6" s="19"/>
      <x:c r="E6" s="19"/>
      <x:c r="F6" s="19"/>
      <x:c r="G6" s="19"/>
      <x:c r="H6" s="19"/>
    </x:row>
    <x:row r="7">
      <x:c r="A7" s="17"/>
      <x:c r="B7" s="17"/>
      <x:c r="C7" s="17"/>
      <x:c r="D7" s="17"/>
      <x:c r="E7" s="17"/>
      <x:c r="F7" s="17"/>
      <x:c r="G7" s="17"/>
      <x:c r="H7" s="17"/>
    </x:row>
    <x:row r="8">
      <x:c r="A8" s="48" t="str">
        <x:v>Mode d’emploi</x:v>
      </x:c>
      <x:c r="B8" s="48"/>
      <x:c r="C8" s="48"/>
      <x:c r="D8" s="48"/>
      <x:c r="E8" s="48"/>
      <x:c r="F8" s="48"/>
      <x:c r="G8" s="48"/>
      <x:c r="H8" s="48"/>
    </x:row>
    <x:row r="9">
      <x:c r="A9" s="20" t="str">
        <x:v>1</x:v>
      </x:c>
      <x:c r="B9" s="21" t="str">
        <x:v>Attribuer le fichier à deux personnes différentes : A et B.</x:v>
      </x:c>
      <x:c r="C9" s="17"/>
      <x:c r="D9" s="17"/>
      <x:c r="E9" s="17"/>
      <x:c r="F9" s="17"/>
      <x:c r="G9" s="17"/>
      <x:c r="H9" s="17"/>
    </x:row>
    <x:row r="10">
      <x:c r="A10" s="20" t="str">
        <x:v>2</x:v>
      </x:c>
      <x:c r="B10" s="21" t="str">
        <x:v>Lire uniquement les notices de la feuille Sources et le vocabulaire autorisé.</x:v>
      </x:c>
      <x:c r="C10" s="17"/>
      <x:c r="D10" s="17"/>
      <x:c r="E10" s="17"/>
      <x:c r="F10" s="17"/>
      <x:c r="G10" s="17"/>
      <x:c r="H10" s="17"/>
    </x:row>
    <x:row r="11">
      <x:c r="A11" s="20" t="str">
        <x:v>3</x:v>
      </x:c>
      <x:c r="B11" s="21" t="str">
        <x:v>Remplir sa propre feuille. Ne pas consulter la feuille de l’autre personne.</x:v>
      </x:c>
      <x:c r="C11" s="17"/>
      <x:c r="D11" s="17"/>
      <x:c r="E11" s="17"/>
      <x:c r="F11" s="17"/>
      <x:c r="G11" s="17"/>
      <x:c r="H11" s="17"/>
    </x:row>
    <x:row r="12">
      <x:c r="A12" s="20" t="str">
        <x:v>4</x:v>
      </x:c>
      <x:c r="B12" s="21" t="str">
        <x:v>Pour plusieurs codes, les séparer par un point-virgule et les trier alphabétiquement.</x:v>
      </x:c>
      <x:c r="C12" s="17"/>
      <x:c r="D12" s="17"/>
      <x:c r="E12" s="17"/>
      <x:c r="F12" s="17"/>
      <x:c r="G12" s="17"/>
      <x:c r="H12" s="17"/>
    </x:row>
    <x:row r="13">
      <x:c r="A13" s="20" t="str">
        <x:v>5</x:v>
      </x:c>
      <x:c r="B13" s="21" t="str">
        <x:v>Une fois les deux feuilles remplies, consulter la feuille Comparaison.</x:v>
      </x:c>
      <x:c r="C13" s="17"/>
      <x:c r="D13" s="17"/>
      <x:c r="E13" s="17"/>
      <x:c r="F13" s="17"/>
      <x:c r="G13" s="17"/>
      <x:c r="H13" s="17"/>
    </x:row>
    <x:row r="14">
      <x:c r="A14" s="17"/>
      <x:c r="B14" s="17"/>
      <x:c r="C14" s="17"/>
      <x:c r="D14" s="17"/>
      <x:c r="E14" s="17"/>
      <x:c r="F14" s="17"/>
      <x:c r="G14" s="17"/>
      <x:c r="H14" s="17"/>
    </x:row>
    <x:row r="15">
      <x:c r="A15" s="49" t="str">
        <x:v>Important</x:v>
      </x:c>
      <x:c r="B15" s="49"/>
      <x:c r="C15" s="49"/>
      <x:c r="D15" s="49"/>
      <x:c r="E15" s="49"/>
      <x:c r="F15" s="49"/>
      <x:c r="G15" s="49"/>
      <x:c r="H15" s="49"/>
    </x:row>
    <x:row r="16">
      <x:c r="A16" s="23" t="str">
        <x:v>Une divergence n’est pas une faute. Elle sert à repérer une définition trop vague, une chronologie difficile à interpréter ou une information insuffisamment sourcée.</x:v>
      </x:c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</x:sheetData>
  <x:mergeCells>
    <x:mergeCell ref="A1:H2"/>
    <x:mergeCell ref="A4:H4"/>
    <x:mergeCell ref="A5:H6"/>
    <x:mergeCell ref="A8:H8"/>
    <x:mergeCell ref="A15:H15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30" hidden="0" customWidth="1"/>
    <x:col min="4" max="4" width="42" hidden="0" customWidth="1"/>
    <x:col min="5" max="5" width="42" hidden="0" customWidth="1"/>
    <x:col min="6" max="6" width="34" hidden="0" customWidth="1"/>
  </x:cols>
  <x:sheetData>
    <x:row r="1">
      <x:c r="A1" s="36" t="str">
        <x:v>Référence</x:v>
      </x:c>
      <x:c r="B1" s="36" t="str">
        <x:v>Type</x:v>
      </x:c>
      <x:c r="C1" s="36" t="str">
        <x:v>Titre</x:v>
      </x:c>
      <x:c r="D1" s="36" t="str">
        <x:v>Source principale</x:v>
      </x:c>
      <x:c r="E1" s="36" t="str">
        <x:v>Source actuelle éventuelle</x:v>
      </x:c>
      <x:c r="F1" s="36" t="str">
        <x:v>Point de difficulté</x:v>
      </x:c>
    </x:row>
    <x:row r="2">
      <x:c r="A2" s="35" t="str">
        <x:v>IA00060938</x:v>
      </x:c>
      <x:c r="B2" s="35" t="str">
        <x:v>Simple</x:v>
      </x:c>
      <x:c r="C2" s="35" t="str">
        <x:v>Centrale hydroélectrique de Rabodanges</x:v>
      </x:c>
      <x:c r="D2" s="35" t="str">
        <x:v>https://pop.culture.gouv.fr/notice/merimee/IA00060938</x:v>
      </x:c>
      <x:c r="E2" s="35" t="str">
        <x:v>https://www.edf.fr/barrage-rabodanges</x:v>
      </x:c>
      <x:c r="F2" s="35" t="str">
        <x:v>Activité unique</x:v>
      </x:c>
    </x:row>
    <x:row r="3">
      <x:c r="A3" s="35" t="str">
        <x:v>IA00060915</x:v>
      </x:c>
      <x:c r="B3" s="35" t="str">
        <x:v>Simple</x:v>
      </x:c>
      <x:c r="C3" s="35" t="str">
        <x:v>Filature de la Planchette</x:v>
      </x:c>
      <x:c r="D3" s="35" t="str">
        <x:v>https://pop.culture.gouv.fr/notice/merimee/IA00060915</x:v>
      </x:c>
      <x:c r="E3" s="35" t="str"/>
      <x:c r="F3" s="35" t="str">
        <x:v>Activité unique</x:v>
      </x:c>
    </x:row>
    <x:row r="4">
      <x:c r="A4" s="35" t="str">
        <x:v>IA00061147</x:v>
      </x:c>
      <x:c r="B4" s="35" t="str">
        <x:v>Simple</x:v>
      </x:c>
      <x:c r="C4" s="35" t="str">
        <x:v>Cartonnerie</x:v>
      </x:c>
      <x:c r="D4" s="35" t="str">
        <x:v>https://pop.culture.gouv.fr/notice/merimee/IA00061147</x:v>
      </x:c>
      <x:c r="E4" s="35" t="str"/>
      <x:c r="F4" s="35" t="str">
        <x:v>Activité unique</x:v>
      </x:c>
    </x:row>
    <x:row r="5">
      <x:c r="A5" s="35" t="str">
        <x:v>IA00060965</x:v>
      </x:c>
      <x:c r="B5" s="35" t="str">
        <x:v>Ambigu</x:v>
      </x:c>
      <x:c r="C5" s="35" t="str">
        <x:v>Affinerie puis moulin à blé</x:v>
      </x:c>
      <x:c r="D5" s="35" t="str">
        <x:v>https://pop.culture.gouv.fr/notice/merimee/IA00060965</x:v>
      </x:c>
      <x:c r="E5" s="35" t="str"/>
      <x:c r="F5" s="35" t="str">
        <x:v>Succession et rapprochements incertains</x:v>
      </x:c>
    </x:row>
    <x:row r="6">
      <x:c r="A6" s="35" t="str">
        <x:v>IA00061155</x:v>
      </x:c>
      <x:c r="B6" s="35" t="str">
        <x:v>Ambigu</x:v>
      </x:c>
      <x:c r="C6" s="35" t="str">
        <x:v>Établissements Bohin</x:v>
      </x:c>
      <x:c r="D6" s="35" t="str">
        <x:v>https://pop.culture.gouv.fr/notice/merimee/IA00061155</x:v>
      </x:c>
      <x:c r="E6" s="35" t="str">
        <x:v>https://www.bohin.com/pages/organiser-sa-visite</x:v>
      </x:c>
      <x:c r="F6" s="35" t="str">
        <x:v>Activités complémentaires et usages multiples</x:v>
      </x:c>
    </x:row>
    <x:row r="7">
      <x:c r="A7" s="35" t="str">
        <x:v>IA00061060</x:v>
      </x:c>
      <x:c r="B7" s="35" t="str">
        <x:v>Ambigu</x:v>
      </x:c>
      <x:c r="C7" s="35" t="str">
        <x:v>Moulin à papier et grosse forge</x:v>
      </x:c>
      <x:c r="D7" s="35" t="str">
        <x:v>https://pop.culture.gouv.fr/notice/merimee/IA00061060</x:v>
      </x:c>
      <x:c r="E7" s="35" t="str"/>
      <x:c r="F7" s="35" t="str">
        <x:v>Cinq phases possibles</x:v>
      </x:c>
    </x:row>
  </x:sheetData>
  <x:conditionalFormatting sqref="B2:B7">
    <x:cfRule type="containsText" dxfId="0" priority="1" operator="containsText" text="Ambigu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30" hidden="0" customWidth="1"/>
    <x:col min="5" max="5" width="30" hidden="0" customWidth="1"/>
    <x:col min="6" max="6" width="30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38" hidden="0" customWidth="1"/>
  </x:cols>
  <x:sheetData>
    <x:row r="1" ht="36" customHeight="1">
      <x:c r="A1" s="40" t="str">
        <x:v>Personne</x:v>
      </x:c>
      <x:c r="B1" s="40" t="str">
        <x:v>Référence</x:v>
      </x:c>
      <x:c r="C1" s="40" t="str">
        <x:v>Nombre de phases</x:v>
      </x:c>
      <x:c r="D1" s="40" t="str">
        <x:v>Activités (codes)</x:v>
      </x:c>
      <x:c r="E1" s="40" t="str">
        <x:v>Secteurs (codes)</x:v>
      </x:c>
      <x:c r="F1" s="40" t="str">
        <x:v>Installations (codes)</x:v>
      </x:c>
      <x:c r="G1" s="40" t="str">
        <x:v>Mode chronologique</x:v>
      </x:c>
      <x:c r="H1" s="40" t="str">
        <x:v>Conservation</x:v>
      </x:c>
      <x:c r="I1" s="40" t="str">
        <x:v>Usages actuels</x:v>
      </x:c>
      <x:c r="J1" s="40" t="str">
        <x:v>Accessibilité</x:v>
      </x:c>
      <x:c r="K1" s="40" t="str">
        <x:v>Fiabilité</x:v>
      </x:c>
      <x:c r="L1" s="40" t="str">
        <x:v>Statut protection</x:v>
      </x:c>
      <x:c r="M1" s="40" t="str">
        <x:v>Commentaire</x:v>
      </x:c>
    </x:row>
    <x:row r="2" ht="30" customHeight="1">
      <x:c r="A2" s="38" t="str">
        <x:v>A</x:v>
      </x:c>
      <x:c r="B2" s="38" t="str">
        <x:v>IA00060938</x:v>
      </x:c>
      <x:c r="C2" s="39"/>
      <x:c r="D2" s="39" t="str"/>
      <x:c r="E2" s="39" t="str"/>
      <x:c r="F2" s="39" t="str"/>
      <x:c r="G2" s="39" t="str"/>
      <x:c r="H2" s="39" t="str"/>
      <x:c r="I2" s="39" t="str"/>
      <x:c r="J2" s="39" t="str"/>
      <x:c r="K2" s="39" t="str"/>
      <x:c r="L2" s="39" t="str"/>
      <x:c r="M2" s="39" t="str"/>
    </x:row>
    <x:row r="3" ht="30" customHeight="1">
      <x:c r="A3" s="38" t="str">
        <x:v>A</x:v>
      </x:c>
      <x:c r="B3" s="38" t="str">
        <x:v>IA00060915</x:v>
      </x:c>
      <x:c r="C3" s="39"/>
      <x:c r="D3" s="39" t="str"/>
      <x:c r="E3" s="39" t="str"/>
      <x:c r="F3" s="39" t="str"/>
      <x:c r="G3" s="39" t="str"/>
      <x:c r="H3" s="39" t="str"/>
      <x:c r="I3" s="39" t="str"/>
      <x:c r="J3" s="39" t="str"/>
      <x:c r="K3" s="39" t="str"/>
      <x:c r="L3" s="39" t="str"/>
      <x:c r="M3" s="39" t="str"/>
    </x:row>
    <x:row r="4" ht="30" customHeight="1">
      <x:c r="A4" s="38" t="str">
        <x:v>A</x:v>
      </x:c>
      <x:c r="B4" s="38" t="str">
        <x:v>IA00061147</x:v>
      </x:c>
      <x:c r="C4" s="39"/>
      <x:c r="D4" s="39" t="str"/>
      <x:c r="E4" s="39" t="str"/>
      <x:c r="F4" s="39" t="str"/>
      <x:c r="G4" s="39" t="str"/>
      <x:c r="H4" s="39" t="str"/>
      <x:c r="I4" s="39" t="str"/>
      <x:c r="J4" s="39" t="str"/>
      <x:c r="K4" s="39" t="str"/>
      <x:c r="L4" s="39" t="str"/>
      <x:c r="M4" s="39" t="str"/>
    </x:row>
    <x:row r="5" ht="30" customHeight="1">
      <x:c r="A5" s="38" t="str">
        <x:v>A</x:v>
      </x:c>
      <x:c r="B5" s="38" t="str">
        <x:v>IA00060965</x:v>
      </x:c>
      <x:c r="C5" s="39"/>
      <x:c r="D5" s="39" t="str"/>
      <x:c r="E5" s="39" t="str"/>
      <x:c r="F5" s="39" t="str"/>
      <x:c r="G5" s="39" t="str"/>
      <x:c r="H5" s="39" t="str"/>
      <x:c r="I5" s="39" t="str"/>
      <x:c r="J5" s="39" t="str"/>
      <x:c r="K5" s="39" t="str"/>
      <x:c r="L5" s="39" t="str"/>
      <x:c r="M5" s="39" t="str"/>
    </x:row>
    <x:row r="6" ht="30" customHeight="1">
      <x:c r="A6" s="38" t="str">
        <x:v>A</x:v>
      </x:c>
      <x:c r="B6" s="38" t="str">
        <x:v>IA00061155</x:v>
      </x:c>
      <x:c r="C6" s="39"/>
      <x:c r="D6" s="39" t="str"/>
      <x:c r="E6" s="39" t="str"/>
      <x:c r="F6" s="39" t="str"/>
      <x:c r="G6" s="39" t="str"/>
      <x:c r="H6" s="39" t="str"/>
      <x:c r="I6" s="39" t="str"/>
      <x:c r="J6" s="39" t="str"/>
      <x:c r="K6" s="39" t="str"/>
      <x:c r="L6" s="39" t="str"/>
      <x:c r="M6" s="39" t="str"/>
    </x:row>
    <x:row r="7" ht="30" customHeight="1">
      <x:c r="A7" s="38" t="str">
        <x:v>A</x:v>
      </x:c>
      <x:c r="B7" s="38" t="str">
        <x:v>IA00061060</x:v>
      </x:c>
      <x:c r="C7" s="39"/>
      <x:c r="D7" s="39" t="str"/>
      <x:c r="E7" s="39" t="str"/>
      <x:c r="F7" s="39" t="str"/>
      <x:c r="G7" s="39" t="str"/>
      <x:c r="H7" s="39" t="str"/>
      <x:c r="I7" s="39" t="str"/>
      <x:c r="J7" s="39" t="str"/>
      <x:c r="K7" s="39" t="str"/>
      <x:c r="L7" s="39" t="str"/>
      <x:c r="M7" s="39" t="str"/>
    </x:row>
  </x:sheetData>
  <x:dataValidations count="6">
    <x:dataValidation type="whole" operator="between" sqref="C2:C7">
      <x:formula1>1</x:formula1>
      <x:formula2>6</x:formula2>
    </x:dataValidation>
    <x:dataValidation type="list" sqref="G2:G7">
      <x:formula1>"phase_unique,successives,simultanees,simultanees_complementaires,simultanees_puis_succession,incertain"</x:formula1>
    </x:dataValidation>
    <x:dataValidation type="list" sqref="H2:H7">
      <x:formula1>"conserve,degrade,partiellement_conserve,vestiges,ruine,disparu,inconnu"</x:formula1>
    </x:dataValidation>
    <x:dataValidation type="list" sqref="J2:J7">
      <x:formula1>"visitable,partiellement_visitable,visible_espace_public,prive_visible,prive_non_visible,inaccessible,inconnu"</x:formula1>
    </x:dataValidation>
    <x:dataValidation type="list" sqref="K2:K7">
      <x:formula1>"forte,moyenne,faible"</x:formula1>
    </x:dataValidation>
    <x:dataValidation type="list" sqref="L2:L7">
      <x:formula1>"protege,inventorie_sans_protection_identifiee,aucune_protection_identifiee,inconnu,a_verifier"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4" hidden="0" customWidth="1"/>
    <x:col min="4" max="4" width="30" hidden="0" customWidth="1"/>
    <x:col min="5" max="5" width="30" hidden="0" customWidth="1"/>
    <x:col min="6" max="6" width="30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38" hidden="0" customWidth="1"/>
  </x:cols>
  <x:sheetData>
    <x:row r="1" ht="36" customHeight="1">
      <x:c r="A1" s="40" t="str">
        <x:v>Personne</x:v>
      </x:c>
      <x:c r="B1" s="40" t="str">
        <x:v>Référence</x:v>
      </x:c>
      <x:c r="C1" s="40" t="str">
        <x:v>Nombre de phases</x:v>
      </x:c>
      <x:c r="D1" s="40" t="str">
        <x:v>Activités (codes)</x:v>
      </x:c>
      <x:c r="E1" s="40" t="str">
        <x:v>Secteurs (codes)</x:v>
      </x:c>
      <x:c r="F1" s="40" t="str">
        <x:v>Installations (codes)</x:v>
      </x:c>
      <x:c r="G1" s="40" t="str">
        <x:v>Mode chronologique</x:v>
      </x:c>
      <x:c r="H1" s="40" t="str">
        <x:v>Conservation</x:v>
      </x:c>
      <x:c r="I1" s="40" t="str">
        <x:v>Usages actuels</x:v>
      </x:c>
      <x:c r="J1" s="40" t="str">
        <x:v>Accessibilité</x:v>
      </x:c>
      <x:c r="K1" s="40" t="str">
        <x:v>Fiabilité</x:v>
      </x:c>
      <x:c r="L1" s="40" t="str">
        <x:v>Statut protection</x:v>
      </x:c>
      <x:c r="M1" s="40" t="str">
        <x:v>Commentaire</x:v>
      </x:c>
    </x:row>
    <x:row r="2" ht="30" customHeight="1">
      <x:c r="A2" s="38" t="str">
        <x:v>B</x:v>
      </x:c>
      <x:c r="B2" s="38" t="str">
        <x:v>IA00060938</x:v>
      </x:c>
      <x:c r="C2" s="39"/>
      <x:c r="D2" s="39" t="str"/>
      <x:c r="E2" s="39" t="str"/>
      <x:c r="F2" s="39" t="str"/>
      <x:c r="G2" s="39" t="str"/>
      <x:c r="H2" s="39" t="str"/>
      <x:c r="I2" s="39" t="str"/>
      <x:c r="J2" s="39" t="str"/>
      <x:c r="K2" s="39" t="str"/>
      <x:c r="L2" s="39" t="str"/>
      <x:c r="M2" s="39" t="str"/>
    </x:row>
    <x:row r="3" ht="30" customHeight="1">
      <x:c r="A3" s="38" t="str">
        <x:v>B</x:v>
      </x:c>
      <x:c r="B3" s="38" t="str">
        <x:v>IA00060915</x:v>
      </x:c>
      <x:c r="C3" s="39"/>
      <x:c r="D3" s="39" t="str"/>
      <x:c r="E3" s="39" t="str"/>
      <x:c r="F3" s="39" t="str"/>
      <x:c r="G3" s="39" t="str"/>
      <x:c r="H3" s="39" t="str"/>
      <x:c r="I3" s="39" t="str"/>
      <x:c r="J3" s="39" t="str"/>
      <x:c r="K3" s="39" t="str"/>
      <x:c r="L3" s="39" t="str"/>
      <x:c r="M3" s="39" t="str"/>
    </x:row>
    <x:row r="4" ht="30" customHeight="1">
      <x:c r="A4" s="38" t="str">
        <x:v>B</x:v>
      </x:c>
      <x:c r="B4" s="38" t="str">
        <x:v>IA00061147</x:v>
      </x:c>
      <x:c r="C4" s="39"/>
      <x:c r="D4" s="39" t="str"/>
      <x:c r="E4" s="39" t="str"/>
      <x:c r="F4" s="39" t="str"/>
      <x:c r="G4" s="39" t="str"/>
      <x:c r="H4" s="39" t="str"/>
      <x:c r="I4" s="39" t="str"/>
      <x:c r="J4" s="39" t="str"/>
      <x:c r="K4" s="39" t="str"/>
      <x:c r="L4" s="39" t="str"/>
      <x:c r="M4" s="39" t="str"/>
    </x:row>
    <x:row r="5" ht="30" customHeight="1">
      <x:c r="A5" s="38" t="str">
        <x:v>B</x:v>
      </x:c>
      <x:c r="B5" s="38" t="str">
        <x:v>IA00060965</x:v>
      </x:c>
      <x:c r="C5" s="39"/>
      <x:c r="D5" s="39" t="str"/>
      <x:c r="E5" s="39" t="str"/>
      <x:c r="F5" s="39" t="str"/>
      <x:c r="G5" s="39" t="str"/>
      <x:c r="H5" s="39" t="str"/>
      <x:c r="I5" s="39" t="str"/>
      <x:c r="J5" s="39" t="str"/>
      <x:c r="K5" s="39" t="str"/>
      <x:c r="L5" s="39" t="str"/>
      <x:c r="M5" s="39" t="str"/>
    </x:row>
    <x:row r="6" ht="30" customHeight="1">
      <x:c r="A6" s="38" t="str">
        <x:v>B</x:v>
      </x:c>
      <x:c r="B6" s="38" t="str">
        <x:v>IA00061155</x:v>
      </x:c>
      <x:c r="C6" s="39"/>
      <x:c r="D6" s="39" t="str"/>
      <x:c r="E6" s="39" t="str"/>
      <x:c r="F6" s="39" t="str"/>
      <x:c r="G6" s="39" t="str"/>
      <x:c r="H6" s="39" t="str"/>
      <x:c r="I6" s="39" t="str"/>
      <x:c r="J6" s="39" t="str"/>
      <x:c r="K6" s="39" t="str"/>
      <x:c r="L6" s="39" t="str"/>
      <x:c r="M6" s="39" t="str"/>
    </x:row>
    <x:row r="7" ht="30" customHeight="1">
      <x:c r="A7" s="38" t="str">
        <x:v>B</x:v>
      </x:c>
      <x:c r="B7" s="38" t="str">
        <x:v>IA00061060</x:v>
      </x:c>
      <x:c r="C7" s="39"/>
      <x:c r="D7" s="39" t="str"/>
      <x:c r="E7" s="39" t="str"/>
      <x:c r="F7" s="39" t="str"/>
      <x:c r="G7" s="39" t="str"/>
      <x:c r="H7" s="39" t="str"/>
      <x:c r="I7" s="39" t="str"/>
      <x:c r="J7" s="39" t="str"/>
      <x:c r="K7" s="39" t="str"/>
      <x:c r="L7" s="39" t="str"/>
      <x:c r="M7" s="39" t="str"/>
    </x:row>
  </x:sheetData>
  <x:dataValidations count="6">
    <x:dataValidation type="whole" operator="between" sqref="C2:C7">
      <x:formula1>1</x:formula1>
      <x:formula2>6</x:formula2>
    </x:dataValidation>
    <x:dataValidation type="list" sqref="G2:G7">
      <x:formula1>"phase_unique,successives,simultanees,simultanees_complementaires,simultanees_puis_succession,incertain"</x:formula1>
    </x:dataValidation>
    <x:dataValidation type="list" sqref="H2:H7">
      <x:formula1>"conserve,degrade,partiellement_conserve,vestiges,ruine,disparu,inconnu"</x:formula1>
    </x:dataValidation>
    <x:dataValidation type="list" sqref="J2:J7">
      <x:formula1>"visitable,partiellement_visitable,visible_espace_public,prive_visible,prive_non_visible,inaccessible,inconnu"</x:formula1>
    </x:dataValidation>
    <x:dataValidation type="list" sqref="K2:K7">
      <x:formula1>"forte,moyenne,faible"</x:formula1>
    </x:dataValidation>
    <x:dataValidation type="list" sqref="L2:L7">
      <x:formula1>"protege,inventorie_sans_protection_identifiee,aucune_protection_identifiee,inconnu,a_verifier"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38" hidden="0" customWidth="1"/>
  </x:cols>
  <x:sheetData>
    <x:row r="1">
      <x:c r="A1" s="43" t="str">
        <x:v>Catégorie</x:v>
      </x:c>
      <x:c r="B1" s="43" t="str">
        <x:v>Code</x:v>
      </x:c>
      <x:c r="C1" s="43" t="str">
        <x:v>Libellé / usage</x:v>
      </x:c>
    </x:row>
    <x:row r="2">
      <x:c r="A2" s="38" t="str">
        <x:v>activité</x:v>
      </x:c>
      <x:c r="B2" s="42" t="str">
        <x:v>production_hydroelectricite</x:v>
      </x:c>
      <x:c r="C2" s="42" t="str">
        <x:v>Production hydroélectrique</x:v>
      </x:c>
    </x:row>
    <x:row r="3">
      <x:c r="A3" s="38" t="str">
        <x:v>activité</x:v>
      </x:c>
      <x:c r="B3" s="42" t="str">
        <x:v>filature_textile</x:v>
      </x:c>
      <x:c r="C3" s="42" t="str">
        <x:v>Filature textile</x:v>
      </x:c>
    </x:row>
    <x:row r="4">
      <x:c r="A4" s="38" t="str">
        <x:v>activité</x:v>
      </x:c>
      <x:c r="B4" s="42" t="str">
        <x:v>fabrication_carton</x:v>
      </x:c>
      <x:c r="C4" s="42" t="str">
        <x:v>Fabrication de carton</x:v>
      </x:c>
    </x:row>
    <x:row r="5">
      <x:c r="A5" s="38" t="str">
        <x:v>activité</x:v>
      </x:c>
      <x:c r="B5" s="42" t="str">
        <x:v>affinage_metaux</x:v>
      </x:c>
      <x:c r="C5" s="42" t="str">
        <x:v>Affinage des métaux</x:v>
      </x:c>
    </x:row>
    <x:row r="6">
      <x:c r="A6" s="38" t="str">
        <x:v>activité</x:v>
      </x:c>
      <x:c r="B6" s="42" t="str">
        <x:v>mouture_cereales</x:v>
      </x:c>
      <x:c r="C6" s="42" t="str">
        <x:v>Mouture de céréales</x:v>
      </x:c>
    </x:row>
    <x:row r="7">
      <x:c r="A7" s="38" t="str">
        <x:v>activité</x:v>
      </x:c>
      <x:c r="B7" s="42" t="str">
        <x:v>fabrication_quincaillerie</x:v>
      </x:c>
      <x:c r="C7" s="42" t="str">
        <x:v>Fabrication de quincaillerie</x:v>
      </x:c>
    </x:row>
    <x:row r="8">
      <x:c r="A8" s="38" t="str">
        <x:v>activité</x:v>
      </x:c>
      <x:c r="B8" s="42" t="str">
        <x:v>trefilage_metaux</x:v>
      </x:c>
      <x:c r="C8" s="42" t="str">
        <x:v>Tréfilage des métaux</x:v>
      </x:c>
    </x:row>
    <x:row r="9">
      <x:c r="A9" s="38" t="str">
        <x:v>activité</x:v>
      </x:c>
      <x:c r="B9" s="42" t="str">
        <x:v>fabrication_papier</x:v>
      </x:c>
      <x:c r="C9" s="42" t="str">
        <x:v>Fabrication de papier</x:v>
      </x:c>
    </x:row>
    <x:row r="10">
      <x:c r="A10" s="38" t="str">
        <x:v>activité</x:v>
      </x:c>
      <x:c r="B10" s="42" t="str">
        <x:v>forgeage</x:v>
      </x:c>
      <x:c r="C10" s="42" t="str">
        <x:v>Forgeage</x:v>
      </x:c>
    </x:row>
    <x:row r="11">
      <x:c r="A11" s="38" t="str">
        <x:v>activité</x:v>
      </x:c>
      <x:c r="B11" s="42" t="str">
        <x:v>preparation_tan</x:v>
      </x:c>
      <x:c r="C11" s="42" t="str">
        <x:v>Préparation du tan</x:v>
      </x:c>
    </x:row>
    <x:row r="12">
      <x:c r="A12" s="38" t="str">
        <x:v>activité</x:v>
      </x:c>
      <x:c r="B12" s="42" t="str">
        <x:v>transformation_lait</x:v>
      </x:c>
      <x:c r="C12" s="42" t="str">
        <x:v>Transformation du lait</x:v>
      </x:c>
    </x:row>
    <x:row r="13">
      <x:c r="A13" s="38" t="str">
        <x:v>secteur</x:v>
      </x:c>
      <x:c r="B13" s="42" t="str">
        <x:v>energie</x:v>
      </x:c>
      <x:c r="C13" s="42" t="str">
        <x:v>Production d'énergie</x:v>
      </x:c>
    </x:row>
    <x:row r="14">
      <x:c r="A14" s="38" t="str">
        <x:v>secteur</x:v>
      </x:c>
      <x:c r="B14" s="42" t="str">
        <x:v>textile_habillement_cuir</x:v>
      </x:c>
      <x:c r="C14" s="42" t="str">
        <x:v>Textile, habillement et cuir</x:v>
      </x:c>
    </x:row>
    <x:row r="15">
      <x:c r="A15" s="38" t="str">
        <x:v>secteur</x:v>
      </x:c>
      <x:c r="B15" s="42" t="str">
        <x:v>bois_papier_imprimerie</x:v>
      </x:c>
      <x:c r="C15" s="42" t="str">
        <x:v>Bois, papier et imprimerie</x:v>
      </x:c>
    </x:row>
    <x:row r="16">
      <x:c r="A16" s="38" t="str">
        <x:v>secteur</x:v>
      </x:c>
      <x:c r="B16" s="42" t="str">
        <x:v>metallurgie_travail_metaux</x:v>
      </x:c>
      <x:c r="C16" s="42" t="str">
        <x:v>Métallurgie et travail des métaux</x:v>
      </x:c>
    </x:row>
    <x:row r="17">
      <x:c r="A17" s="38" t="str">
        <x:v>secteur</x:v>
      </x:c>
      <x:c r="B17" s="42" t="str">
        <x:v>agroalimentaire</x:v>
      </x:c>
      <x:c r="C17" s="42" t="str">
        <x:v>Agroalimentaire</x:v>
      </x:c>
    </x:row>
    <x:row r="18">
      <x:c r="A18" s="38" t="str">
        <x:v>installation</x:v>
      </x:c>
      <x:c r="B18" s="42" t="str">
        <x:v>centrale_hydroelectrique</x:v>
      </x:c>
      <x:c r="C18" s="42" t="str">
        <x:v>Centrale hydroélectrique</x:v>
      </x:c>
    </x:row>
    <x:row r="19">
      <x:c r="A19" s="38" t="str">
        <x:v>installation</x:v>
      </x:c>
      <x:c r="B19" s="42" t="str">
        <x:v>filature</x:v>
      </x:c>
      <x:c r="C19" s="42" t="str">
        <x:v>Filature</x:v>
      </x:c>
    </x:row>
    <x:row r="20">
      <x:c r="A20" s="38" t="str">
        <x:v>installation</x:v>
      </x:c>
      <x:c r="B20" s="42" t="str">
        <x:v>cartonnerie</x:v>
      </x:c>
      <x:c r="C20" s="42" t="str">
        <x:v>Cartonnerie</x:v>
      </x:c>
    </x:row>
    <x:row r="21">
      <x:c r="A21" s="38" t="str">
        <x:v>installation</x:v>
      </x:c>
      <x:c r="B21" s="42" t="str">
        <x:v>affinerie</x:v>
      </x:c>
      <x:c r="C21" s="42" t="str">
        <x:v>Affinerie</x:v>
      </x:c>
    </x:row>
    <x:row r="22">
      <x:c r="A22" s="38" t="str">
        <x:v>installation</x:v>
      </x:c>
      <x:c r="B22" s="42" t="str">
        <x:v>moulin</x:v>
      </x:c>
      <x:c r="C22" s="42" t="str">
        <x:v>Moulin</x:v>
      </x:c>
    </x:row>
    <x:row r="23">
      <x:c r="A23" s="38" t="str">
        <x:v>installation</x:v>
      </x:c>
      <x:c r="B23" s="42" t="str">
        <x:v>usine</x:v>
      </x:c>
      <x:c r="C23" s="42" t="str">
        <x:v>Usine</x:v>
      </x:c>
    </x:row>
    <x:row r="24">
      <x:c r="A24" s="38" t="str">
        <x:v>installation</x:v>
      </x:c>
      <x:c r="B24" s="42" t="str">
        <x:v>papeterie</x:v>
      </x:c>
      <x:c r="C24" s="42" t="str">
        <x:v>Papeterie</x:v>
      </x:c>
    </x:row>
    <x:row r="25">
      <x:c r="A25" s="38" t="str">
        <x:v>installation</x:v>
      </x:c>
      <x:c r="B25" s="42" t="str">
        <x:v>forge</x:v>
      </x:c>
      <x:c r="C25" s="42" t="str">
        <x:v>Forge</x:v>
      </x:c>
    </x:row>
    <x:row r="26">
      <x:c r="A26" s="38" t="str">
        <x:v>installation</x:v>
      </x:c>
      <x:c r="B26" s="42" t="str">
        <x:v>fromagerie</x:v>
      </x:c>
      <x:c r="C26" s="42" t="str">
        <x:v>Fromagerie</x:v>
      </x:c>
    </x:row>
    <x:row r="27">
      <x:c r="A27" s="38" t="str">
        <x:v>usage</x:v>
      </x:c>
      <x:c r="B27" s="42" t="str">
        <x:v>activite_industrielle</x:v>
      </x:c>
      <x:c r="C27" s="42" t="str">
        <x:v>Activité industrielle actuelle</x:v>
      </x:c>
    </x:row>
    <x:row r="28">
      <x:c r="A28" s="38" t="str">
        <x:v>usage</x:v>
      </x:c>
      <x:c r="B28" s="42" t="str">
        <x:v>culture_musee</x:v>
      </x:c>
      <x:c r="C28" s="42" t="str">
        <x:v>Culture ou musée</x:v>
      </x:c>
    </x:row>
    <x:row r="29">
      <x:c r="A29" s="38" t="str">
        <x:v>usage</x:v>
      </x:c>
      <x:c r="B29" s="42" t="str">
        <x:v>tourisme_visite</x:v>
      </x:c>
      <x:c r="C29" s="42" t="str">
        <x:v>Tourisme ou visite</x:v>
      </x:c>
    </x:row>
    <x:row r="30">
      <x:c r="A30" s="38" t="str">
        <x:v>usage</x:v>
      </x:c>
      <x:c r="B30" s="42" t="str">
        <x:v>logement</x:v>
      </x:c>
      <x:c r="C30" s="42" t="str">
        <x:v>Logement</x:v>
      </x:c>
    </x:row>
    <x:row r="31">
      <x:c r="A31" s="38" t="str">
        <x:v>usage</x:v>
      </x:c>
      <x:c r="B31" s="42" t="str">
        <x:v>vacant</x:v>
      </x:c>
      <x:c r="C31" s="42" t="str">
        <x:v>Vacant</x:v>
      </x:c>
    </x:row>
    <x:row r="32">
      <x:c r="A32" s="38" t="str">
        <x:v>usage</x:v>
      </x:c>
      <x:c r="B32" s="42" t="str">
        <x:v>sans_usage</x:v>
      </x:c>
      <x:c r="C32" s="42" t="str">
        <x:v>Sans usage</x:v>
      </x:c>
    </x:row>
    <x:row r="33">
      <x:c r="A33" s="38" t="str">
        <x:v>usage</x:v>
      </x:c>
      <x:c r="B33" s="42" t="str">
        <x:v>inconnu</x:v>
      </x:c>
      <x:c r="C33" s="42" t="str">
        <x:v>Usage inconnu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36" t="str">
        <x:v>Référence</x:v>
      </x:c>
      <x:c r="B1" s="36" t="str">
        <x:v>Phases</x:v>
      </x:c>
      <x:c r="C1" s="36" t="str">
        <x:v>Activités</x:v>
      </x:c>
      <x:c r="D1" s="36" t="str">
        <x:v>Secteurs</x:v>
      </x:c>
      <x:c r="E1" s="36" t="str">
        <x:v>Installations</x:v>
      </x:c>
      <x:c r="F1" s="36" t="str">
        <x:v>Chronologie</x:v>
      </x:c>
      <x:c r="G1" s="36" t="str">
        <x:v>Conservation</x:v>
      </x:c>
      <x:c r="H1" s="36" t="str">
        <x:v>Usages</x:v>
      </x:c>
      <x:c r="I1" s="36" t="str">
        <x:v>Accessibilité</x:v>
      </x:c>
      <x:c r="J1" s="36" t="str">
        <x:v>Fiabilité</x:v>
      </x:c>
      <x:c r="K1" s="36" t="str">
        <x:v>Protection</x:v>
      </x:c>
      <x:c r="L1" s="36" t="str">
        <x:v>Accord moyen</x:v>
      </x:c>
    </x:row>
    <x:row r="2">
      <x:c r="A2" s="42" t="str">
        <x:v>IA00060938</x:v>
      </x:c>
      <x:c r="B2" s="44" t="str">
        <x:f>IF(OR('Personne A'!C2="",'Personne B'!C2=""),"",IF('Personne A'!C2='Personne B'!C2,1,0))</x:f>
      </x:c>
      <x:c r="C2" s="44" t="str">
        <x:f>IF(OR('Personne A'!D2="",'Personne B'!D2=""),"",IF('Personne A'!D2='Personne B'!D2,1,0))</x:f>
      </x:c>
      <x:c r="D2" s="44" t="str">
        <x:f>IF(OR('Personne A'!E2="",'Personne B'!E2=""),"",IF('Personne A'!E2='Personne B'!E2,1,0))</x:f>
      </x:c>
      <x:c r="E2" s="44" t="str">
        <x:f>IF(OR('Personne A'!F2="",'Personne B'!F2=""),"",IF('Personne A'!F2='Personne B'!F2,1,0))</x:f>
      </x:c>
      <x:c r="F2" s="44" t="str">
        <x:f>IF(OR('Personne A'!G2="",'Personne B'!G2=""),"",IF('Personne A'!G2='Personne B'!G2,1,0))</x:f>
      </x:c>
      <x:c r="G2" s="44" t="str">
        <x:f>IF(OR('Personne A'!H2="",'Personne B'!H2=""),"",IF('Personne A'!H2='Personne B'!H2,1,0))</x:f>
      </x:c>
      <x:c r="H2" s="44" t="str">
        <x:f>IF(OR('Personne A'!I2="",'Personne B'!I2=""),"",IF('Personne A'!I2='Personne B'!I2,1,0))</x:f>
      </x:c>
      <x:c r="I2" s="44" t="str">
        <x:f>IF(OR('Personne A'!J2="",'Personne B'!J2=""),"",IF('Personne A'!J2='Personne B'!J2,1,0))</x:f>
      </x:c>
      <x:c r="J2" s="44" t="str">
        <x:f>IF(OR('Personne A'!K2="",'Personne B'!K2=""),"",IF('Personne A'!K2='Personne B'!K2,1,0))</x:f>
      </x:c>
      <x:c r="K2" s="44" t="str">
        <x:f>IF(OR('Personne A'!L2="",'Personne B'!L2=""),"",IF('Personne A'!L2='Personne B'!L2,1,0))</x:f>
      </x:c>
      <x:c r="L2" s="45" t="str">
        <x:f>IF(COUNT(B2:K2)=0,"",AVERAGE(B2:K2))</x:f>
      </x:c>
    </x:row>
    <x:row r="3">
      <x:c r="A3" s="42" t="str">
        <x:v>IA00060915</x:v>
      </x:c>
      <x:c r="B3" s="44" t="str">
        <x:f>IF(OR('Personne A'!C3="",'Personne B'!C3=""),"",IF('Personne A'!C3='Personne B'!C3,1,0))</x:f>
      </x:c>
      <x:c r="C3" s="44" t="str">
        <x:f>IF(OR('Personne A'!D3="",'Personne B'!D3=""),"",IF('Personne A'!D3='Personne B'!D3,1,0))</x:f>
      </x:c>
      <x:c r="D3" s="44" t="str">
        <x:f>IF(OR('Personne A'!E3="",'Personne B'!E3=""),"",IF('Personne A'!E3='Personne B'!E3,1,0))</x:f>
      </x:c>
      <x:c r="E3" s="44" t="str">
        <x:f>IF(OR('Personne A'!F3="",'Personne B'!F3=""),"",IF('Personne A'!F3='Personne B'!F3,1,0))</x:f>
      </x:c>
      <x:c r="F3" s="44" t="str">
        <x:f>IF(OR('Personne A'!G3="",'Personne B'!G3=""),"",IF('Personne A'!G3='Personne B'!G3,1,0))</x:f>
      </x:c>
      <x:c r="G3" s="44" t="str">
        <x:f>IF(OR('Personne A'!H3="",'Personne B'!H3=""),"",IF('Personne A'!H3='Personne B'!H3,1,0))</x:f>
      </x:c>
      <x:c r="H3" s="44" t="str">
        <x:f>IF(OR('Personne A'!I3="",'Personne B'!I3=""),"",IF('Personne A'!I3='Personne B'!I3,1,0))</x:f>
      </x:c>
      <x:c r="I3" s="44" t="str">
        <x:f>IF(OR('Personne A'!J3="",'Personne B'!J3=""),"",IF('Personne A'!J3='Personne B'!J3,1,0))</x:f>
      </x:c>
      <x:c r="J3" s="44" t="str">
        <x:f>IF(OR('Personne A'!K3="",'Personne B'!K3=""),"",IF('Personne A'!K3='Personne B'!K3,1,0))</x:f>
      </x:c>
      <x:c r="K3" s="44" t="str">
        <x:f>IF(OR('Personne A'!L3="",'Personne B'!L3=""),"",IF('Personne A'!L3='Personne B'!L3,1,0))</x:f>
      </x:c>
      <x:c r="L3" s="45" t="str">
        <x:f>IF(COUNT(B3:K3)=0,"",AVERAGE(B3:K3))</x:f>
      </x:c>
    </x:row>
    <x:row r="4">
      <x:c r="A4" s="42" t="str">
        <x:v>IA00061147</x:v>
      </x:c>
      <x:c r="B4" s="44" t="str">
        <x:f>IF(OR('Personne A'!C4="",'Personne B'!C4=""),"",IF('Personne A'!C4='Personne B'!C4,1,0))</x:f>
      </x:c>
      <x:c r="C4" s="44" t="str">
        <x:f>IF(OR('Personne A'!D4="",'Personne B'!D4=""),"",IF('Personne A'!D4='Personne B'!D4,1,0))</x:f>
      </x:c>
      <x:c r="D4" s="44" t="str">
        <x:f>IF(OR('Personne A'!E4="",'Personne B'!E4=""),"",IF('Personne A'!E4='Personne B'!E4,1,0))</x:f>
      </x:c>
      <x:c r="E4" s="44" t="str">
        <x:f>IF(OR('Personne A'!F4="",'Personne B'!F4=""),"",IF('Personne A'!F4='Personne B'!F4,1,0))</x:f>
      </x:c>
      <x:c r="F4" s="44" t="str">
        <x:f>IF(OR('Personne A'!G4="",'Personne B'!G4=""),"",IF('Personne A'!G4='Personne B'!G4,1,0))</x:f>
      </x:c>
      <x:c r="G4" s="44" t="str">
        <x:f>IF(OR('Personne A'!H4="",'Personne B'!H4=""),"",IF('Personne A'!H4='Personne B'!H4,1,0))</x:f>
      </x:c>
      <x:c r="H4" s="44" t="str">
        <x:f>IF(OR('Personne A'!I4="",'Personne B'!I4=""),"",IF('Personne A'!I4='Personne B'!I4,1,0))</x:f>
      </x:c>
      <x:c r="I4" s="44" t="str">
        <x:f>IF(OR('Personne A'!J4="",'Personne B'!J4=""),"",IF('Personne A'!J4='Personne B'!J4,1,0))</x:f>
      </x:c>
      <x:c r="J4" s="44" t="str">
        <x:f>IF(OR('Personne A'!K4="",'Personne B'!K4=""),"",IF('Personne A'!K4='Personne B'!K4,1,0))</x:f>
      </x:c>
      <x:c r="K4" s="44" t="str">
        <x:f>IF(OR('Personne A'!L4="",'Personne B'!L4=""),"",IF('Personne A'!L4='Personne B'!L4,1,0))</x:f>
      </x:c>
      <x:c r="L4" s="45" t="str">
        <x:f>IF(COUNT(B4:K4)=0,"",AVERAGE(B4:K4))</x:f>
      </x:c>
    </x:row>
    <x:row r="5">
      <x:c r="A5" s="42" t="str">
        <x:v>IA00060965</x:v>
      </x:c>
      <x:c r="B5" s="44" t="str">
        <x:f>IF(OR('Personne A'!C5="",'Personne B'!C5=""),"",IF('Personne A'!C5='Personne B'!C5,1,0))</x:f>
      </x:c>
      <x:c r="C5" s="44" t="str">
        <x:f>IF(OR('Personne A'!D5="",'Personne B'!D5=""),"",IF('Personne A'!D5='Personne B'!D5,1,0))</x:f>
      </x:c>
      <x:c r="D5" s="44" t="str">
        <x:f>IF(OR('Personne A'!E5="",'Personne B'!E5=""),"",IF('Personne A'!E5='Personne B'!E5,1,0))</x:f>
      </x:c>
      <x:c r="E5" s="44" t="str">
        <x:f>IF(OR('Personne A'!F5="",'Personne B'!F5=""),"",IF('Personne A'!F5='Personne B'!F5,1,0))</x:f>
      </x:c>
      <x:c r="F5" s="44" t="str">
        <x:f>IF(OR('Personne A'!G5="",'Personne B'!G5=""),"",IF('Personne A'!G5='Personne B'!G5,1,0))</x:f>
      </x:c>
      <x:c r="G5" s="44" t="str">
        <x:f>IF(OR('Personne A'!H5="",'Personne B'!H5=""),"",IF('Personne A'!H5='Personne B'!H5,1,0))</x:f>
      </x:c>
      <x:c r="H5" s="44" t="str">
        <x:f>IF(OR('Personne A'!I5="",'Personne B'!I5=""),"",IF('Personne A'!I5='Personne B'!I5,1,0))</x:f>
      </x:c>
      <x:c r="I5" s="44" t="str">
        <x:f>IF(OR('Personne A'!J5="",'Personne B'!J5=""),"",IF('Personne A'!J5='Personne B'!J5,1,0))</x:f>
      </x:c>
      <x:c r="J5" s="44" t="str">
        <x:f>IF(OR('Personne A'!K5="",'Personne B'!K5=""),"",IF('Personne A'!K5='Personne B'!K5,1,0))</x:f>
      </x:c>
      <x:c r="K5" s="44" t="str">
        <x:f>IF(OR('Personne A'!L5="",'Personne B'!L5=""),"",IF('Personne A'!L5='Personne B'!L5,1,0))</x:f>
      </x:c>
      <x:c r="L5" s="45" t="str">
        <x:f>IF(COUNT(B5:K5)=0,"",AVERAGE(B5:K5))</x:f>
      </x:c>
    </x:row>
    <x:row r="6">
      <x:c r="A6" s="42" t="str">
        <x:v>IA00061155</x:v>
      </x:c>
      <x:c r="B6" s="44" t="str">
        <x:f>IF(OR('Personne A'!C6="",'Personne B'!C6=""),"",IF('Personne A'!C6='Personne B'!C6,1,0))</x:f>
      </x:c>
      <x:c r="C6" s="44" t="str">
        <x:f>IF(OR('Personne A'!D6="",'Personne B'!D6=""),"",IF('Personne A'!D6='Personne B'!D6,1,0))</x:f>
      </x:c>
      <x:c r="D6" s="44" t="str">
        <x:f>IF(OR('Personne A'!E6="",'Personne B'!E6=""),"",IF('Personne A'!E6='Personne B'!E6,1,0))</x:f>
      </x:c>
      <x:c r="E6" s="44" t="str">
        <x:f>IF(OR('Personne A'!F6="",'Personne B'!F6=""),"",IF('Personne A'!F6='Personne B'!F6,1,0))</x:f>
      </x:c>
      <x:c r="F6" s="44" t="str">
        <x:f>IF(OR('Personne A'!G6="",'Personne B'!G6=""),"",IF('Personne A'!G6='Personne B'!G6,1,0))</x:f>
      </x:c>
      <x:c r="G6" s="44" t="str">
        <x:f>IF(OR('Personne A'!H6="",'Personne B'!H6=""),"",IF('Personne A'!H6='Personne B'!H6,1,0))</x:f>
      </x:c>
      <x:c r="H6" s="44" t="str">
        <x:f>IF(OR('Personne A'!I6="",'Personne B'!I6=""),"",IF('Personne A'!I6='Personne B'!I6,1,0))</x:f>
      </x:c>
      <x:c r="I6" s="44" t="str">
        <x:f>IF(OR('Personne A'!J6="",'Personne B'!J6=""),"",IF('Personne A'!J6='Personne B'!J6,1,0))</x:f>
      </x:c>
      <x:c r="J6" s="44" t="str">
        <x:f>IF(OR('Personne A'!K6="",'Personne B'!K6=""),"",IF('Personne A'!K6='Personne B'!K6,1,0))</x:f>
      </x:c>
      <x:c r="K6" s="44" t="str">
        <x:f>IF(OR('Personne A'!L6="",'Personne B'!L6=""),"",IF('Personne A'!L6='Personne B'!L6,1,0))</x:f>
      </x:c>
      <x:c r="L6" s="45" t="str">
        <x:f>IF(COUNT(B6:K6)=0,"",AVERAGE(B6:K6))</x:f>
      </x:c>
    </x:row>
    <x:row r="7">
      <x:c r="A7" s="42" t="str">
        <x:v>IA00061060</x:v>
      </x:c>
      <x:c r="B7" s="44" t="str">
        <x:f>IF(OR('Personne A'!C7="",'Personne B'!C7=""),"",IF('Personne A'!C7='Personne B'!C7,1,0))</x:f>
      </x:c>
      <x:c r="C7" s="44" t="str">
        <x:f>IF(OR('Personne A'!D7="",'Personne B'!D7=""),"",IF('Personne A'!D7='Personne B'!D7,1,0))</x:f>
      </x:c>
      <x:c r="D7" s="44" t="str">
        <x:f>IF(OR('Personne A'!E7="",'Personne B'!E7=""),"",IF('Personne A'!E7='Personne B'!E7,1,0))</x:f>
      </x:c>
      <x:c r="E7" s="44" t="str">
        <x:f>IF(OR('Personne A'!F7="",'Personne B'!F7=""),"",IF('Personne A'!F7='Personne B'!F7,1,0))</x:f>
      </x:c>
      <x:c r="F7" s="44" t="str">
        <x:f>IF(OR('Personne A'!G7="",'Personne B'!G7=""),"",IF('Personne A'!G7='Personne B'!G7,1,0))</x:f>
      </x:c>
      <x:c r="G7" s="44" t="str">
        <x:f>IF(OR('Personne A'!H7="",'Personne B'!H7=""),"",IF('Personne A'!H7='Personne B'!H7,1,0))</x:f>
      </x:c>
      <x:c r="H7" s="44" t="str">
        <x:f>IF(OR('Personne A'!I7="",'Personne B'!I7=""),"",IF('Personne A'!I7='Personne B'!I7,1,0))</x:f>
      </x:c>
      <x:c r="I7" s="44" t="str">
        <x:f>IF(OR('Personne A'!J7="",'Personne B'!J7=""),"",IF('Personne A'!J7='Personne B'!J7,1,0))</x:f>
      </x:c>
      <x:c r="J7" s="44" t="str">
        <x:f>IF(OR('Personne A'!K7="",'Personne B'!K7=""),"",IF('Personne A'!K7='Personne B'!K7,1,0))</x:f>
      </x:c>
      <x:c r="K7" s="44" t="str">
        <x:f>IF(OR('Personne A'!L7="",'Personne B'!L7=""),"",IF('Personne A'!L7='Personne B'!L7,1,0))</x:f>
      </x:c>
      <x:c r="L7" s="45" t="str">
        <x:f>IF(COUNT(B7:K7)=0,"",AVERAGE(B7:K7))</x:f>
      </x:c>
    </x:row>
    <x:row r="8">
      <x:c r="A8" s="42"/>
      <x:c r="B8" s="42"/>
      <x:c r="C8" s="42"/>
      <x:c r="D8" s="42"/>
      <x:c r="E8" s="42"/>
      <x:c r="F8" s="42"/>
      <x:c r="G8" s="42"/>
      <x:c r="H8" s="42"/>
      <x:c r="I8" s="42"/>
      <x:c r="J8" s="42"/>
      <x:c r="K8" s="42"/>
      <x:c r="L8" s="45"/>
    </x:row>
    <x:row r="9">
      <x:c r="A9" s="46" t="str">
        <x:v>Accord global</x:v>
      </x:c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7" t="str">
        <x:f>IF(COUNT(B2:K7)=0,"",AVERAGE(B2:K7))</x:f>
      </x:c>
    </x:row>
  </x:sheetData>
  <x:mergeCells>
    <x:mergeCell ref="A9:K9"/>
  </x:mergeCells>
  <x:conditionalFormatting sqref="B2:K7">
    <x:cfRule type="expression" dxfId="1" priority="1">
      <x:formula>AND(B2&lt;&gt;"",B2=0)</x:formula>
    </x:cfRule>
    <x:cfRule type="expression" dxfId="2" priority="2">
      <x:formula>B2=1</x:formula>
    </x:cfRule>
  </x:conditionalFormatting>
  <x:pageMargins left="0.7" right="0.7" top="0.75" bottom="0.75" header="0.3" footer="0.3"/>
</x:worksheet>
</file>